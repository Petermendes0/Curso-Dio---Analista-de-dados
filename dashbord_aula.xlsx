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ende\Downloads\"/>
    </mc:Choice>
  </mc:AlternateContent>
  <xr:revisionPtr revIDLastSave="0" documentId="13_ncr:1_{2D0A4E1B-92DE-447C-9F32-A9419EB0F36B}" xr6:coauthVersionLast="47" xr6:coauthVersionMax="47" xr10:uidLastSave="{00000000-0000-0000-0000-000000000000}"/>
  <bookViews>
    <workbookView xWindow="-108" yWindow="-108" windowWidth="23256" windowHeight="1317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3" l="1"/>
  <c r="F31" i="3"/>
</calcChain>
</file>

<file path=xl/sharedStrings.xml><?xml version="1.0" encoding="utf-8"?>
<sst xmlns="http://schemas.openxmlformats.org/spreadsheetml/2006/main" count="2027" uniqueCount="324">
  <si>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</si>
  <si>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</si>
  <si>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</si>
  <si>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</si>
  <si>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</si>
  <si>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</si>
  <si>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</si>
  <si>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</si>
  <si>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</si>
  <si>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</si>
  <si>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</si>
  <si>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</si>
  <si>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</si>
  <si>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</si>
  <si>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</si>
  <si>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</si>
  <si>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</si>
  <si>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</si>
  <si>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</si>
  <si>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</si>
  <si>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</si>
  <si>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</si>
  <si>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</si>
  <si>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</si>
  <si>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</si>
  <si>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</si>
  <si>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</si>
  <si>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</si>
  <si>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</si>
  <si>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</si>
  <si>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</si>
  <si>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</si>
  <si>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</si>
  <si>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</si>
  <si>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</si>
  <si>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</si>
  <si>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</si>
  <si>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</si>
  <si>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</si>
  <si>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</si>
  <si>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</si>
  <si>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</si>
  <si>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</si>
  <si>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</si>
  <si>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</si>
  <si>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</si>
  <si>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</si>
  <si>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</si>
  <si>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</si>
  <si>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</si>
  <si>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</si>
  <si>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</si>
  <si>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</si>
  <si>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</si>
  <si>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</si>
  <si>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</si>
  <si>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</si>
  <si>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</si>
  <si>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</si>
  <si>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</si>
  <si>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</si>
  <si>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</si>
  <si>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</si>
  <si>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</si>
  <si>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</si>
  <si>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</si>
  <si>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</si>
  <si>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</si>
  <si>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</si>
  <si>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</si>
  <si>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</si>
  <si>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</si>
  <si>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</si>
  <si>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</si>
  <si>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</si>
  <si>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</si>
  <si>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</si>
  <si>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</si>
  <si>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</si>
  <si>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</si>
  <si>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</si>
  <si>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</si>
  <si>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</si>
  <si>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</si>
  <si>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</si>
  <si>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</si>
  <si>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</si>
  <si>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</si>
  <si>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</si>
  <si>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</si>
  <si>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</si>
  <si>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</si>
  <si>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</si>
  <si>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</si>
  <si>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</si>
  <si>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</si>
  <si>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</si>
  <si>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</si>
  <si>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</si>
  <si>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</si>
  <si>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</si>
  <si>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</si>
  <si>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</si>
  <si>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</si>
  <si>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</si>
  <si>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</si>
  <si>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</si>
  <si>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</si>
  <si>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</si>
  <si>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</si>
  <si>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</si>
  <si>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</si>
  <si>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</si>
  <si>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</si>
  <si>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</si>
  <si>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</si>
  <si>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</si>
  <si>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</si>
  <si>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</si>
  <si>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</si>
  <si>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</si>
  <si>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</si>
  <si>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</si>
  <si>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</si>
  <si>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</si>
  <si>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</si>
  <si>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</si>
  <si>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</si>
  <si>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</si>
  <si>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</si>
  <si>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</si>
  <si>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</si>
  <si>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</si>
  <si>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</si>
  <si>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</si>
  <si>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</si>
  <si>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</si>
  <si>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</si>
  <si>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</si>
  <si>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</si>
  <si>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</si>
  <si>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</si>
  <si>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</si>
  <si>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</si>
  <si>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</si>
  <si>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</si>
  <si>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</si>
  <si>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</si>
  <si>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</si>
  <si>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</si>
  <si>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</si>
  <si>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</si>
  <si>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</si>
  <si>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</si>
  <si>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</si>
  <si>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</si>
  <si>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</si>
  <si>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</si>
  <si>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</si>
  <si>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</si>
  <si>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</si>
  <si>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</si>
  <si>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</si>
  <si>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</si>
  <si>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</si>
  <si>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</si>
  <si>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</si>
  <si>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</si>
  <si>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</si>
  <si>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</si>
  <si>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</si>
  <si>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</si>
  <si>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</si>
  <si>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</si>
  <si>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</si>
  <si>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</si>
  <si>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</si>
  <si>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</si>
  <si>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</si>
  <si>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</si>
  <si>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</si>
  <si>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</si>
  <si>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</si>
  <si>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</si>
  <si>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</si>
  <si>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</si>
  <si>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</si>
  <si>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</si>
  <si>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</si>
  <si>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</si>
  <si>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</si>
  <si>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</si>
  <si>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</si>
  <si>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</si>
  <si>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</si>
  <si>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</si>
  <si>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</si>
  <si>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</si>
  <si>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</si>
  <si>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</si>
  <si>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</si>
  <si>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</si>
  <si>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</si>
  <si>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</si>
  <si>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</si>
  <si>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</si>
  <si>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</si>
  <si>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</si>
  <si>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</si>
  <si>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</si>
  <si>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</si>
  <si>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</si>
  <si>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</si>
  <si>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</si>
  <si>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</si>
  <si>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</si>
  <si>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</si>
  <si>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</si>
  <si>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</si>
  <si>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</si>
  <si>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</si>
  <si>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</si>
  <si>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</si>
  <si>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</si>
  <si>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</si>
  <si>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</si>
  <si>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</si>
  <si>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</si>
  <si>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</si>
  <si>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</si>
  <si>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</si>
  <si>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</si>
  <si>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</si>
  <si>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</si>
  <si>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</si>
  <si>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</si>
  <si>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</si>
  <si>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</si>
  <si>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</si>
  <si>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</si>
  <si>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</si>
  <si>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</si>
  <si>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</si>
  <si>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</si>
  <si>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</si>
  <si>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</si>
  <si>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</si>
  <si>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</si>
  <si>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</si>
  <si>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</si>
  <si>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</si>
  <si>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</si>
  <si>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</si>
  <si>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</si>
  <si>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</si>
  <si>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</si>
  <si>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</si>
  <si>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</si>
  <si>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</si>
  <si>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</si>
  <si>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</si>
  <si>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</si>
  <si>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</si>
  <si>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</si>
  <si>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</si>
  <si>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</si>
  <si>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</si>
  <si>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</si>
  <si>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</si>
  <si>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</si>
  <si>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</si>
  <si>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</si>
  <si>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</si>
  <si>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</si>
  <si>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</si>
  <si>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</si>
  <si>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</si>
  <si>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</si>
  <si>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</si>
  <si>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</si>
  <si>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</si>
  <si>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</si>
  <si>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</si>
  <si>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</si>
  <si>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</si>
  <si>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</si>
  <si>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</si>
  <si>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</si>
  <si>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</si>
  <si>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</si>
  <si>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</si>
  <si>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</si>
  <si>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</si>
  <si>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</si>
  <si>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</si>
  <si>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</si>
  <si>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</si>
  <si>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</si>
  <si>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</si>
  <si>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</si>
  <si>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</si>
  <si>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</si>
  <si>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</si>
  <si>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</si>
  <si>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</si>
  <si>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</si>
  <si>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</si>
  <si>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</si>
  <si>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</si>
  <si>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</si>
  <si>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</si>
  <si>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</si>
  <si>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</si>
  <si>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</si>
  <si>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</si>
  <si>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</si>
  <si>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do negocio 1 - Qual faturamento Total de vendas de planos anuais (Contendo todas as assinaturas agregadas) ?</t>
  </si>
  <si>
    <t>Pergunta do negocio 2  - Qual faturamento Total de vendas de planos anuais separado por auto renovação ou que não é por auto renovação ?</t>
  </si>
  <si>
    <t>XBOX GAME PASS SUBSCRIPTIONS SALES</t>
  </si>
  <si>
    <t>Pergunta do negocio 3 - Total de Vendas de Assinaturas do EA Play</t>
  </si>
  <si>
    <t>Soma de EA Play Season Pass</t>
  </si>
  <si>
    <t>(Tudo)</t>
  </si>
  <si>
    <t>Pergunta do negocio 3 - Total de Vendas de Assinaturas do Minicraft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</si>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</sst>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oge UAi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Border="1"/>
    <xf numFmtId="0" fontId="0" fillId="8" borderId="0" xfId="0" applyFill="1"/>
    <xf numFmtId="0" fontId="0" fillId="0" borderId="0" xfId="0" applyNumberFormat="1"/>
    <xf numFmtId="165" fontId="0" fillId="0" borderId="0" xfId="0" applyNumberFormat="1"/>
    <xf numFmtId="0" fontId="4" fillId="0" borderId="2" xfId="1" applyFont="1" applyBorder="1" applyAlignment="1">
      <alignment horizontal="left" indent="8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22EEC930-F082-4CAA-84DA-F5253407938C}">
      <tableStyleElement type="wholeTable" dxfId="1"/>
      <tableStyleElement type="headerRow" dxfId="0"/>
    </tableStyle>
  </tableStyles>
  <colors>
    <mruColors>
      <color rgb="FF22C55E"/>
      <color rgb="FF2AE6B1"/>
      <color rgb="FFF7F8FC"/>
      <color rgb="FFE8E6E9"/>
      <color rgb="FF5BF6A8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 tint="0.49998474074526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[dashbord_inicio.xlsx]C̳álculos!Tabela dinâmica2</c:name>
    <c:fmtId val="9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  <c:pivotFmt>
        <c:idx val="6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8187900221996883E-2"/>
          <c:y val="0.11131620787048441"/>
          <c:w val="0.92763153902920525"/>
          <c:h val="0.786798771545475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57-43C0-AF66-ADE3B1F94119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57-43C0-AF66-ADE3B1F941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C̳álculos!$B$19:$B$21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C̳álculos!$C$19:$C$21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57-43C0-AF66-ADE3B1F94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6756208"/>
        <c:axId val="1746751888"/>
      </c:barChart>
      <c:catAx>
        <c:axId val="1746756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6751888"/>
        <c:crosses val="autoZero"/>
        <c:auto val="1"/>
        <c:lblAlgn val="ctr"/>
        <c:lblOffset val="100"/>
        <c:noMultiLvlLbl val="0"/>
      </c:catAx>
      <c:valAx>
        <c:axId val="174675188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74675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1876426</xdr:colOff>
      <xdr:row>0</xdr:row>
      <xdr:rowOff>9526</xdr:rowOff>
    </xdr:from>
    <xdr:to>
      <xdr:col>3</xdr:col>
      <xdr:colOff>251371</xdr:colOff>
      <xdr:row>2</xdr:row>
      <xdr:rowOff>8965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8417C6B-9BA6-450E-BC6D-74C81EC225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0" t="18390" r="71947" b="19667"/>
        <a:stretch>
          <a:fillRect/>
        </a:stretch>
      </xdr:blipFill>
      <xdr:spPr>
        <a:xfrm>
          <a:off x="1876426" y="9526"/>
          <a:ext cx="860970" cy="8477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1828800</xdr:colOff>
      <xdr:row>8</xdr:row>
      <xdr:rowOff>329564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1F64C8B8-362D-4B9A-9F65-90DF2A1495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85875"/>
              <a:ext cx="1828800" cy="1272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333375</xdr:colOff>
      <xdr:row>3</xdr:row>
      <xdr:rowOff>431988</xdr:rowOff>
    </xdr:from>
    <xdr:to>
      <xdr:col>10</xdr:col>
      <xdr:colOff>581025</xdr:colOff>
      <xdr:row>12</xdr:row>
      <xdr:rowOff>159124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44A85A58-50F1-B290-84CB-894AD586430C}"/>
            </a:ext>
          </a:extLst>
        </xdr:cNvPr>
        <xdr:cNvGrpSpPr/>
      </xdr:nvGrpSpPr>
      <xdr:grpSpPr>
        <a:xfrm>
          <a:off x="2224928" y="1462929"/>
          <a:ext cx="5106521" cy="1618689"/>
          <a:chOff x="2381250" y="1238250"/>
          <a:chExt cx="5114925" cy="1628775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A35F6DEC-DEC9-736F-FD97-840B82C9DF6A}"/>
              </a:ext>
            </a:extLst>
          </xdr:cNvPr>
          <xdr:cNvSpPr/>
        </xdr:nvSpPr>
        <xdr:spPr>
          <a:xfrm>
            <a:off x="2381250" y="1247775"/>
            <a:ext cx="5114925" cy="1619250"/>
          </a:xfrm>
          <a:prstGeom prst="roundRect">
            <a:avLst>
              <a:gd name="adj" fmla="val 2549"/>
            </a:avLst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1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3C029E0C-F23A-45BC-96C6-6A883D3F0147}"/>
              </a:ext>
            </a:extLst>
          </xdr:cNvPr>
          <xdr:cNvSpPr/>
        </xdr:nvSpPr>
        <xdr:spPr>
          <a:xfrm>
            <a:off x="4229099" y="1466850"/>
            <a:ext cx="3086101" cy="1390650"/>
          </a:xfrm>
          <a:prstGeom prst="roundRect">
            <a:avLst>
              <a:gd name="adj" fmla="val 254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C02EBA1-D617-4F09-8DC0-D591EA572915}" type="TxLink">
              <a:rPr lang="en-US" sz="3600" b="0" i="0" u="none" strike="noStrike">
                <a:solidFill>
                  <a:srgbClr val="22C55E"/>
                </a:solidFill>
                <a:latin typeface="Seoge UAi"/>
              </a:rPr>
              <a:pPr algn="ctr"/>
              <a:t>R$ 2.940,00</a:t>
            </a:fld>
            <a:endParaRPr lang="pt-BR" sz="3600">
              <a:solidFill>
                <a:srgbClr val="22C55E"/>
              </a:solidFill>
              <a:latin typeface="Seoge UAi"/>
            </a:endParaRPr>
          </a:p>
        </xdr:txBody>
      </xdr:sp>
      <xdr:pic>
        <xdr:nvPicPr>
          <xdr:cNvPr id="2" name="Imagem 1">
            <a:extLst>
              <a:ext uri="{FF2B5EF4-FFF2-40B4-BE49-F238E27FC236}">
                <a16:creationId xmlns:a16="http://schemas.microsoft.com/office/drawing/2014/main" id="{3C610E3A-69BC-41B4-A61E-DE3CB5FFDD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38450" y="1579245"/>
            <a:ext cx="1219200" cy="1165860"/>
          </a:xfrm>
          <a:prstGeom prst="rect">
            <a:avLst/>
          </a:prstGeom>
        </xdr:spPr>
      </xdr:pic>
      <xdr:sp macro="" textlink="">
        <xdr:nvSpPr>
          <xdr:cNvPr id="3" name="Retângulo: Cantos Superiores Arredondados 2">
            <a:extLst>
              <a:ext uri="{FF2B5EF4-FFF2-40B4-BE49-F238E27FC236}">
                <a16:creationId xmlns:a16="http://schemas.microsoft.com/office/drawing/2014/main" id="{124668E2-ECF6-D66A-A017-3F08DC30D91E}"/>
              </a:ext>
            </a:extLst>
          </xdr:cNvPr>
          <xdr:cNvSpPr/>
        </xdr:nvSpPr>
        <xdr:spPr>
          <a:xfrm>
            <a:off x="2381251" y="1238250"/>
            <a:ext cx="5105400" cy="3333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</a:t>
            </a:r>
            <a:r>
              <a:rPr lang="pt-BR" sz="1100" b="1" baseline="0">
                <a:latin typeface="Seoge UAi"/>
              </a:rPr>
              <a:t>SUBSCRITIONS</a:t>
            </a:r>
            <a:r>
              <a:rPr lang="pt-BR" sz="1100" b="1" baseline="0"/>
              <a:t> EA PLAY SEASONS PASS</a:t>
            </a:r>
            <a:endParaRPr lang="pt-BR" sz="1100" b="1"/>
          </a:p>
        </xdr:txBody>
      </xdr:sp>
    </xdr:grpSp>
    <xdr:clientData/>
  </xdr:twoCellAnchor>
  <xdr:twoCellAnchor>
    <xdr:from>
      <xdr:col>1</xdr:col>
      <xdr:colOff>333936</xdr:colOff>
      <xdr:row>14</xdr:row>
      <xdr:rowOff>61633</xdr:rowOff>
    </xdr:from>
    <xdr:to>
      <xdr:col>20</xdr:col>
      <xdr:colOff>200585</xdr:colOff>
      <xdr:row>29</xdr:row>
      <xdr:rowOff>99733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7847063F-2409-FDA6-BB69-B55E5FCE537B}"/>
            </a:ext>
          </a:extLst>
        </xdr:cNvPr>
        <xdr:cNvGrpSpPr/>
      </xdr:nvGrpSpPr>
      <xdr:grpSpPr>
        <a:xfrm>
          <a:off x="2225489" y="3342715"/>
          <a:ext cx="10660155" cy="2727512"/>
          <a:chOff x="2362201" y="3733800"/>
          <a:chExt cx="10906124" cy="2752725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BC8E584A-D47B-F4B0-8482-0FBDAC356FCF}"/>
              </a:ext>
            </a:extLst>
          </xdr:cNvPr>
          <xdr:cNvGrpSpPr/>
        </xdr:nvGrpSpPr>
        <xdr:grpSpPr>
          <a:xfrm>
            <a:off x="2362201" y="3733800"/>
            <a:ext cx="10906124" cy="2752725"/>
            <a:chOff x="2362201" y="3733800"/>
            <a:chExt cx="10906124" cy="2752725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B5717CF9-BE02-0A04-B075-6F9130CEF8E4}"/>
                </a:ext>
              </a:extLst>
            </xdr:cNvPr>
            <xdr:cNvSpPr/>
          </xdr:nvSpPr>
          <xdr:spPr>
            <a:xfrm>
              <a:off x="2362201" y="3733800"/>
              <a:ext cx="10667302" cy="2752725"/>
            </a:xfrm>
            <a:prstGeom prst="roundRect">
              <a:avLst>
                <a:gd name="adj" fmla="val 248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3FAA4065-8A18-4F27-BC6E-8CEA8547F40B}"/>
                </a:ext>
              </a:extLst>
            </xdr:cNvPr>
            <xdr:cNvGraphicFramePr>
              <a:graphicFrameLocks/>
            </xdr:cNvGraphicFramePr>
          </xdr:nvGraphicFramePr>
          <xdr:xfrm>
            <a:off x="2720429" y="3903343"/>
            <a:ext cx="10547896" cy="238315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4CA91063-6329-4D3C-86B8-BD43C7FB4A9B}"/>
              </a:ext>
            </a:extLst>
          </xdr:cNvPr>
          <xdr:cNvSpPr/>
        </xdr:nvSpPr>
        <xdr:spPr>
          <a:xfrm>
            <a:off x="2362201" y="3733800"/>
            <a:ext cx="10658474" cy="3524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</a:t>
            </a:r>
            <a:r>
              <a:rPr lang="pt-BR" sz="1100" b="1" baseline="0">
                <a:latin typeface="Seoge UAi"/>
              </a:rPr>
              <a:t>SUBSCRITIONS</a:t>
            </a:r>
            <a:r>
              <a:rPr lang="pt-BR" sz="1100" b="1" baseline="0"/>
              <a:t> XBOX GAME PASS</a:t>
            </a:r>
            <a:endParaRPr lang="pt-BR" sz="1100" b="1"/>
          </a:p>
        </xdr:txBody>
      </xdr:sp>
    </xdr:grpSp>
    <xdr:clientData/>
  </xdr:twoCellAnchor>
  <xdr:twoCellAnchor>
    <xdr:from>
      <xdr:col>11</xdr:col>
      <xdr:colOff>171450</xdr:colOff>
      <xdr:row>3</xdr:row>
      <xdr:rowOff>432828</xdr:rowOff>
    </xdr:from>
    <xdr:to>
      <xdr:col>19</xdr:col>
      <xdr:colOff>571500</xdr:colOff>
      <xdr:row>12</xdr:row>
      <xdr:rowOff>158284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26E40A7E-D47F-2F7A-C3BC-F8786A71C53E}"/>
            </a:ext>
          </a:extLst>
        </xdr:cNvPr>
        <xdr:cNvGrpSpPr/>
      </xdr:nvGrpSpPr>
      <xdr:grpSpPr>
        <a:xfrm>
          <a:off x="7531474" y="1463769"/>
          <a:ext cx="5115485" cy="1617009"/>
          <a:chOff x="7820025" y="1652588"/>
          <a:chExt cx="5114925" cy="1628775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D9F4387A-7B56-15C5-5204-B568829529C1}"/>
              </a:ext>
            </a:extLst>
          </xdr:cNvPr>
          <xdr:cNvSpPr/>
        </xdr:nvSpPr>
        <xdr:spPr>
          <a:xfrm>
            <a:off x="7820025" y="1662113"/>
            <a:ext cx="5114925" cy="1619250"/>
          </a:xfrm>
          <a:prstGeom prst="roundRect">
            <a:avLst>
              <a:gd name="adj" fmla="val 2549"/>
            </a:avLst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41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BDB2112A-9352-F485-791A-D99B9760E487}"/>
              </a:ext>
            </a:extLst>
          </xdr:cNvPr>
          <xdr:cNvSpPr/>
        </xdr:nvSpPr>
        <xdr:spPr>
          <a:xfrm>
            <a:off x="9667874" y="1881188"/>
            <a:ext cx="3086101" cy="1390650"/>
          </a:xfrm>
          <a:prstGeom prst="roundRect">
            <a:avLst>
              <a:gd name="adj" fmla="val 254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287AD8A-0454-4CE6-B4BA-AE55D9F2B824}" type="TxLink">
              <a:rPr lang="en-US" sz="3600" b="0" i="0" u="none" strike="noStrike">
                <a:solidFill>
                  <a:srgbClr val="22C55E"/>
                </a:solidFill>
                <a:latin typeface="Seoge UAi"/>
              </a:rPr>
              <a:t>R$ 3.880,00</a:t>
            </a:fld>
            <a:endParaRPr lang="pt-BR" sz="3600">
              <a:solidFill>
                <a:srgbClr val="22C55E"/>
              </a:solidFill>
              <a:latin typeface="Seoge UAi"/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26EBB40E-ED16-8DB6-3AA4-1AA58F96E908}"/>
              </a:ext>
            </a:extLst>
          </xdr:cNvPr>
          <xdr:cNvSpPr/>
        </xdr:nvSpPr>
        <xdr:spPr>
          <a:xfrm>
            <a:off x="7820026" y="1652588"/>
            <a:ext cx="5105400" cy="3333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</a:t>
            </a:r>
            <a:r>
              <a:rPr lang="pt-BR" sz="1100" b="1" baseline="0">
                <a:latin typeface="Seoge UAi"/>
              </a:rPr>
              <a:t>SUBSCRITIONS</a:t>
            </a:r>
            <a:r>
              <a:rPr lang="pt-BR" sz="1100" b="1" baseline="0"/>
              <a:t> MINICRAFT SEASONS PASS</a:t>
            </a:r>
            <a:endParaRPr lang="pt-BR" sz="1100" b="1"/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7D2FBA6C-3E13-4721-ADCD-1C4AF66B3872}"/>
              </a:ext>
            </a:extLst>
          </xdr:cNvPr>
          <xdr:cNvGrpSpPr/>
        </xdr:nvGrpSpPr>
        <xdr:grpSpPr>
          <a:xfrm>
            <a:off x="8096250" y="2231708"/>
            <a:ext cx="1390650" cy="689610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356CEB96-031C-C025-3A95-D3E5505BAE5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4EA7C0BB-1016-D711-7B50-A56728263EE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142876</xdr:colOff>
      <xdr:row>0</xdr:row>
      <xdr:rowOff>129833</xdr:rowOff>
    </xdr:from>
    <xdr:to>
      <xdr:col>0</xdr:col>
      <xdr:colOff>838201</xdr:colOff>
      <xdr:row>1</xdr:row>
      <xdr:rowOff>240323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50CAF2CD-A7CA-4C5C-9981-D02BAF54AA8D}"/>
            </a:ext>
          </a:extLst>
        </xdr:cNvPr>
        <xdr:cNvSpPr/>
      </xdr:nvSpPr>
      <xdr:spPr>
        <a:xfrm>
          <a:off x="142876" y="129833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2</xdr:row>
      <xdr:rowOff>66115</xdr:rowOff>
    </xdr:from>
    <xdr:to>
      <xdr:col>0</xdr:col>
      <xdr:colOff>1562100</xdr:colOff>
      <xdr:row>3</xdr:row>
      <xdr:rowOff>128308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A9211827-8756-20EB-B008-E372E505953E}"/>
            </a:ext>
          </a:extLst>
        </xdr:cNvPr>
        <xdr:cNvSpPr/>
      </xdr:nvSpPr>
      <xdr:spPr>
        <a:xfrm>
          <a:off x="0" y="914400"/>
          <a:ext cx="156210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</a:t>
          </a:r>
          <a:r>
            <a:rPr lang="pt-BR" sz="1100" b="1" baseline="0"/>
            <a:t> Vindo, Lucas</a:t>
          </a:r>
          <a:endParaRPr lang="pt-BR" sz="1100" b="1"/>
        </a:p>
      </xdr:txBody>
    </xdr:sp>
    <xdr:clientData/>
  </xdr:twoCellAnchor>
  <xdr:twoCellAnchor editAs="absolute">
    <xdr:from>
      <xdr:col>1</xdr:col>
      <xdr:colOff>89645</xdr:colOff>
      <xdr:row>2</xdr:row>
      <xdr:rowOff>8966</xdr:rowOff>
    </xdr:from>
    <xdr:to>
      <xdr:col>10</xdr:col>
      <xdr:colOff>80681</xdr:colOff>
      <xdr:row>3</xdr:row>
      <xdr:rowOff>62753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4464FF45-6E36-461F-8A2E-2EF216FCD9AE}"/>
            </a:ext>
          </a:extLst>
        </xdr:cNvPr>
        <xdr:cNvSpPr/>
      </xdr:nvSpPr>
      <xdr:spPr>
        <a:xfrm>
          <a:off x="1981198" y="860613"/>
          <a:ext cx="4849907" cy="2330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bg1">
                  <a:lumMod val="50000"/>
                </a:schemeClr>
              </a:solidFill>
            </a:rPr>
            <a:t>Calculation period</a:t>
          </a:r>
          <a:r>
            <a:rPr lang="pt-BR" sz="1100" b="0" baseline="0">
              <a:solidFill>
                <a:schemeClr val="bg1">
                  <a:lumMod val="50000"/>
                </a:schemeClr>
              </a:solidFill>
            </a:rPr>
            <a:t>: 01/01/2024 - 31/12/2024 | update date 19/03/2026 21:12:00</a:t>
          </a:r>
          <a:endParaRPr lang="pt-BR" sz="11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Mendes" refreshedDate="46100.462288888892" createdVersion="8" refreshedVersion="8" minRefreshableVersion="3" recordCount="295" xr:uid="{124548AD-485F-48AA-8828-F7A27DF5419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433549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3C869-3EB4-4A56-91A7-9BD77E62C59E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2">
  <location ref="B37:C4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EF543-4CE6-4B51-B671-D8D27464CE40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2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3B811-C86F-477E-BEDB-0B9D94FC9243}" name="tbl_easeasonpass_total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2">
  <location ref="B27:C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147E7-333F-4772-83A1-D5115E681F6C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4">
  <location ref="B18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2A6B857-9885-4B6C-A647-33D2FEF57925}" sourceName="Subscription Type">
  <pivotTables>
    <pivotTable tabId="3" name="Tabela dinâmica2"/>
    <pivotTable tabId="3" name="tbl_easeasonpass_total"/>
    <pivotTable tabId="3" name="Tabela dinâmica1"/>
  </pivotTables>
  <data>
    <tabular pivotCacheId="64335498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75EE7DE-EA76-4DAE-A31E-0D27EA5B49CA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F41" sqref="F41"/>
    </sheetView>
  </sheetViews>
  <sheetFormatPr defaultRowHeight="14.4"/>
  <cols>
    <col min="9" max="9" width="3.5546875" customWidth="1"/>
  </cols>
  <sheetData>
    <row r="3" spans="2:16" ht="20.399999999999999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399999999999999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41" sqref="F41"/>
    </sheetView>
  </sheetViews>
  <sheetFormatPr defaultRowHeight="14.4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F41"/>
  <sheetViews>
    <sheetView showGridLines="0" topLeftCell="A28" workbookViewId="0">
      <selection activeCell="F41" sqref="F41"/>
    </sheetView>
  </sheetViews>
  <sheetFormatPr defaultRowHeight="14.4"/>
  <cols>
    <col min="2" max="2" width="16.77734375" bestFit="1" customWidth="1"/>
    <col min="3" max="3" width="17.8867187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6" spans="2:3">
      <c r="B6" t="s">
        <v>316</v>
      </c>
    </row>
    <row r="8" spans="2:3">
      <c r="B8" s="12" t="s">
        <v>313</v>
      </c>
      <c r="C8" t="s">
        <v>315</v>
      </c>
    </row>
    <row r="9" spans="2:3">
      <c r="B9" s="13" t="s">
        <v>24</v>
      </c>
      <c r="C9" s="14">
        <v>1754</v>
      </c>
    </row>
    <row r="10" spans="2:3">
      <c r="B10" s="13" t="s">
        <v>20</v>
      </c>
      <c r="C10" s="14">
        <v>3571</v>
      </c>
    </row>
    <row r="11" spans="2:3">
      <c r="B11" s="13" t="s">
        <v>27</v>
      </c>
      <c r="C11" s="14">
        <v>2308</v>
      </c>
    </row>
    <row r="12" spans="2:3">
      <c r="B12" s="13" t="s">
        <v>314</v>
      </c>
      <c r="C12" s="14">
        <v>7633</v>
      </c>
    </row>
    <row r="13" spans="2:3">
      <c r="B13" s="13"/>
      <c r="C13" s="14"/>
    </row>
    <row r="14" spans="2:3">
      <c r="B14" s="13" t="s">
        <v>317</v>
      </c>
      <c r="C14" s="14"/>
    </row>
    <row r="16" spans="2:3">
      <c r="B16" s="12" t="s">
        <v>16</v>
      </c>
      <c r="C16" t="s">
        <v>321</v>
      </c>
    </row>
    <row r="18" spans="2:6">
      <c r="B18" s="12" t="s">
        <v>313</v>
      </c>
      <c r="C18" t="s">
        <v>315</v>
      </c>
    </row>
    <row r="19" spans="2:6">
      <c r="B19" s="13" t="s">
        <v>23</v>
      </c>
      <c r="C19" s="14">
        <v>3847</v>
      </c>
    </row>
    <row r="20" spans="2:6">
      <c r="B20" s="13" t="s">
        <v>19</v>
      </c>
      <c r="C20" s="14">
        <v>3786</v>
      </c>
    </row>
    <row r="21" spans="2:6">
      <c r="B21" s="13" t="s">
        <v>314</v>
      </c>
      <c r="C21" s="14">
        <v>7633</v>
      </c>
    </row>
    <row r="23" spans="2:6">
      <c r="B23" s="13" t="s">
        <v>319</v>
      </c>
    </row>
    <row r="25" spans="2:6">
      <c r="B25" s="12" t="s">
        <v>16</v>
      </c>
      <c r="C25" t="s">
        <v>321</v>
      </c>
    </row>
    <row r="27" spans="2:6">
      <c r="B27" s="12" t="s">
        <v>313</v>
      </c>
      <c r="C27" t="s">
        <v>320</v>
      </c>
    </row>
    <row r="28" spans="2:6">
      <c r="B28" s="13" t="s">
        <v>22</v>
      </c>
      <c r="C28" s="17">
        <v>0</v>
      </c>
    </row>
    <row r="29" spans="2:6">
      <c r="B29" s="13" t="s">
        <v>26</v>
      </c>
      <c r="C29" s="17">
        <v>0</v>
      </c>
    </row>
    <row r="30" spans="2:6">
      <c r="B30" s="13" t="s">
        <v>18</v>
      </c>
      <c r="C30" s="17">
        <v>2940</v>
      </c>
    </row>
    <row r="31" spans="2:6">
      <c r="B31" s="13" t="s">
        <v>314</v>
      </c>
      <c r="C31" s="17">
        <v>2940</v>
      </c>
      <c r="F31" s="18">
        <f>GETPIVOTDATA("EA Play Season Pass
Price",$B$27)</f>
        <v>2940</v>
      </c>
    </row>
    <row r="33" spans="2:6">
      <c r="B33" t="s">
        <v>322</v>
      </c>
    </row>
    <row r="35" spans="2:6">
      <c r="B35" s="12" t="s">
        <v>16</v>
      </c>
      <c r="C35" t="s">
        <v>321</v>
      </c>
    </row>
    <row r="37" spans="2:6">
      <c r="B37" s="12" t="s">
        <v>313</v>
      </c>
      <c r="C37" t="s">
        <v>323</v>
      </c>
    </row>
    <row r="38" spans="2:6">
      <c r="B38" s="13" t="s">
        <v>22</v>
      </c>
      <c r="C38" s="14">
        <v>0</v>
      </c>
    </row>
    <row r="39" spans="2:6">
      <c r="B39" s="13" t="s">
        <v>26</v>
      </c>
      <c r="C39" s="14">
        <v>1920</v>
      </c>
    </row>
    <row r="40" spans="2:6">
      <c r="B40" s="13" t="s">
        <v>18</v>
      </c>
      <c r="C40" s="14">
        <v>1960</v>
      </c>
    </row>
    <row r="41" spans="2:6">
      <c r="B41" s="13" t="s">
        <v>314</v>
      </c>
      <c r="C41" s="14">
        <v>3880</v>
      </c>
      <c r="F41" s="18">
        <f>GETPIVOTDATA("Minecraft Season Pass Price",$B$37)</f>
        <v>3880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N873"/>
  <sheetViews>
    <sheetView showGridLines="0" tabSelected="1" zoomScale="85" zoomScaleNormal="85" workbookViewId="0">
      <selection activeCell="W13" sqref="W13"/>
    </sheetView>
  </sheetViews>
  <sheetFormatPr defaultRowHeight="14.4"/>
  <cols>
    <col min="1" max="1" width="27.5546875" style="4" customWidth="1"/>
    <col min="2" max="2" width="5.109375" style="7" customWidth="1"/>
    <col min="3" max="3" width="3.5546875" customWidth="1"/>
    <col min="13" max="13" width="6.5546875" customWidth="1"/>
  </cols>
  <sheetData>
    <row r="1" spans="2:40" ht="43.8" customHeight="1" thickBot="1">
      <c r="B1" s="16"/>
      <c r="C1" s="19" t="s">
        <v>318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2:40" ht="23.4" customHeight="1" thickTop="1">
      <c r="B2" s="16"/>
      <c r="E2" s="16"/>
    </row>
    <row r="3" spans="2:40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2:40" ht="39" customHeight="1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2:40" ht="8.25" customHeight="1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2:40" ht="7.5" customHeight="1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2:40" ht="10.5" customHeight="1"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2:40" ht="9.75" customHeight="1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2:40" ht="33" customHeight="1"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2:40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2:40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2:40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2:40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2:40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2:40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2:40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3:40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3:40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3:40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3:40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3:40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3:40"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3:40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3:40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3:40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3:40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3:40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3:40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3:40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3:40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3:40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3:40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3:40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3:40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3:40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3:40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3:40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3:40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3:40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3:40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3:40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3:40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3:40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3:40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3:40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3:40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3:40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3:40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3:40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3:40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3:40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3:40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3:40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3:40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3:40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3:40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3:40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3:40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3:40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3:40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3:40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3:40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3:40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3:40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3:40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3:40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3:40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3:40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3:40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3:40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3:40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3:40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3:40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3:40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3:40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3:40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3:40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3:40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3:40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3:40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3:40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3:40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3:40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3:40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3:40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3:40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</row>
    <row r="87" spans="3:40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</row>
    <row r="88" spans="3:40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</row>
    <row r="89" spans="3:40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</row>
    <row r="90" spans="3:40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</row>
    <row r="91" spans="3:40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3:40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3:40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3:40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3:40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3:40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3:40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</row>
    <row r="98" spans="3:40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3:40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3:40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3:40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</row>
    <row r="102" spans="3:40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</row>
    <row r="103" spans="3:40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3:40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3:40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3:40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3:40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3:40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3:40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3:40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3:40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3:40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3:40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3:40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3:40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3:40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3:40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3:40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3:40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3:40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3:40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3:40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3:40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3:40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3:40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3:40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3:40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3:40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3:40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3:40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3:40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3:40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3:40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3:40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3:40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3:40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3:40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3:40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3:40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3:40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3:40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3:40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3:40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3:40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3:40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3:40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3:40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3:40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3:40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3:40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3:40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3:40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3:40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3:40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3:40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3:40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3:40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3:40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3:40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3:40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3:40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3:40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3:40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3:40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3:40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3:40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3:40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3:40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3:40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</row>
    <row r="170" spans="3:40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 spans="3:40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3:40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3:40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3:40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3:40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3:40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3:40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3:40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3:40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3:40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3:40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3:40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3:40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3:40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3:40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3:40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3:40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3:40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3:40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3:40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3:40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3:40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3:40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3:40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3:40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3:40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3:40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3:40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3:40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3:40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3:40"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3:40"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3:40"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3:40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3:40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3:40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3:40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3:40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3:40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3:40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3:40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3:40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3:40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3:40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3:40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3:40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3:40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3:40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3:40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3:40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3:40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3:40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3:40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3:40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3:40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3:40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3:40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3:40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3:40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3:40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3:40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3:40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3:40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3:40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3:40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3:40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3:40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3:40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3:40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3:40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3:40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</row>
    <row r="242" spans="3:40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</row>
    <row r="243" spans="3:40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</row>
    <row r="244" spans="3:40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</row>
    <row r="245" spans="3:40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3:40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3:40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3:40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3:40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3:40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3:40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3:40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3:40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3:40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3:40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3:40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3:40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3:40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3:40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3:40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3:40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3:40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3:40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3:40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3:40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3:40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3:40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3:40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3:40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3:40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3:40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3:40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3:40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3:40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3:40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3:40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3:40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3:40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3:40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3:40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3:40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3:40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3:40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spans="3:40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3:40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3:40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3:40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3:40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3:40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3:40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3:40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3:40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3:40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3:40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3:40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3:40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3:40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3:40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3:40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3:40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3:40"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3:40"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3:40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3:40"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3:40"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3:40"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3:40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3:40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3:40"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3:40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</row>
    <row r="311" spans="3:40"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</row>
    <row r="312" spans="3:40"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</row>
    <row r="313" spans="3:40"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3:40"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3:40"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3:40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3:40"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3:40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3:40"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3:40"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3:40"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3:40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3:40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3:40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3:40"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3:40"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3:40"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3:40"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3:40"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3:40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3:40"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3:40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3:40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3:40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3:40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3:40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3:40"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3:40"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3:40"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3:40"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3:40"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 spans="3:40"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3:40"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3:40"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3:40"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3:40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3:40"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3:40"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3:40"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3:40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3:40"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3:40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3:40"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3:40"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3:40"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3:40"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3:40"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3:40"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3:40"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3:40"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3:40"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3:40"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3:40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3:40"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3:40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3:40"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3:40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3:40"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3:40"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3:40"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3:40"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3:40"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3:40"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3:40"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3:40"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3:40"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3:40"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3:40"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3:40"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3:40"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3:40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3:40"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3:40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3:40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3:40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3:40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3:40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3:40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3:40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3:40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3:40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3:40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3:40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3:40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3:40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3:40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3:40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3:40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3:40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3:40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3:40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3:40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3:40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3:40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3:40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3:40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 spans="3:40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 spans="3:40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 spans="3:40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 spans="3:40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 spans="3:40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 spans="3:40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 spans="3:40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 spans="3:40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 spans="3:40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 spans="3:40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 spans="3:40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 spans="3:40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 spans="3:40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 spans="3:40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 spans="3:40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 spans="3:40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 spans="3:40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 spans="3:40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 spans="3:40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 spans="3:40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 spans="3:40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 spans="3:40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 spans="3:40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 spans="3:40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 spans="3:40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 spans="3:40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</row>
    <row r="433" spans="3:40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</row>
    <row r="434" spans="3:40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</row>
    <row r="435" spans="3:40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</row>
    <row r="436" spans="3:40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</row>
    <row r="437" spans="3:40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</row>
    <row r="438" spans="3:40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</row>
    <row r="439" spans="3:40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</row>
    <row r="440" spans="3:40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</row>
    <row r="441" spans="3:40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</row>
    <row r="442" spans="3:40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</row>
    <row r="443" spans="3:40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</row>
    <row r="444" spans="3:40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</row>
    <row r="445" spans="3:40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</row>
    <row r="446" spans="3:40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</row>
    <row r="447" spans="3:40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</row>
    <row r="448" spans="3:40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 spans="3:40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 spans="3:40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</row>
    <row r="451" spans="3:40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</row>
    <row r="452" spans="3:40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</row>
    <row r="453" spans="3:40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</row>
    <row r="454" spans="3:40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</row>
    <row r="455" spans="3:40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</row>
    <row r="456" spans="3:40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</row>
    <row r="457" spans="3:40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</row>
    <row r="458" spans="3:40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</row>
    <row r="459" spans="3:40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</row>
    <row r="460" spans="3:40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</row>
    <row r="461" spans="3:40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</row>
    <row r="462" spans="3:40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</row>
    <row r="463" spans="3:40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</row>
    <row r="464" spans="3:40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 spans="3:40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</row>
    <row r="466" spans="3:40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</row>
    <row r="467" spans="3:40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</row>
    <row r="468" spans="3:40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</row>
    <row r="469" spans="3:40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</row>
    <row r="470" spans="3:40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</row>
    <row r="471" spans="3:40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</row>
    <row r="472" spans="3:40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</row>
    <row r="473" spans="3:40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</row>
    <row r="474" spans="3:40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</row>
    <row r="475" spans="3:40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</row>
    <row r="476" spans="3:40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</row>
    <row r="477" spans="3:40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</row>
    <row r="478" spans="3:40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</row>
    <row r="479" spans="3:40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</row>
    <row r="480" spans="3:40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</row>
    <row r="481" spans="3:40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</row>
    <row r="482" spans="3:40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 spans="3:40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</row>
    <row r="484" spans="3:40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 spans="3:40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</row>
    <row r="486" spans="3:40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</row>
    <row r="487" spans="3:40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</row>
    <row r="488" spans="3:40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</row>
    <row r="489" spans="3:40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</row>
    <row r="490" spans="3:40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</row>
    <row r="491" spans="3:40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</row>
    <row r="492" spans="3:40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</row>
    <row r="493" spans="3:40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</row>
    <row r="494" spans="3:40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</row>
    <row r="495" spans="3:40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</row>
    <row r="496" spans="3:40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</row>
    <row r="497" spans="3:40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</row>
    <row r="498" spans="3:40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</row>
    <row r="499" spans="3:40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</row>
    <row r="500" spans="3:40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</row>
    <row r="501" spans="3:40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</row>
    <row r="502" spans="3:40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</row>
    <row r="503" spans="3:40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</row>
    <row r="504" spans="3:40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</row>
    <row r="505" spans="3:40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</row>
    <row r="506" spans="3:40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</row>
    <row r="507" spans="3:40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</row>
    <row r="508" spans="3:40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</row>
    <row r="509" spans="3:40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</row>
    <row r="510" spans="3:40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</row>
    <row r="511" spans="3:40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</row>
    <row r="512" spans="3:40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</row>
    <row r="513" spans="3:40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</row>
    <row r="514" spans="3:40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</row>
    <row r="515" spans="3:40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</row>
    <row r="516" spans="3:40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</row>
    <row r="517" spans="3:40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</row>
    <row r="518" spans="3:40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</row>
    <row r="519" spans="3:40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</row>
    <row r="520" spans="3:40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</row>
    <row r="521" spans="3:40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</row>
    <row r="522" spans="3:40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</row>
    <row r="523" spans="3:40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</row>
    <row r="524" spans="3:40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</row>
    <row r="525" spans="3:40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</row>
    <row r="526" spans="3:40"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</row>
    <row r="527" spans="3:40"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</row>
    <row r="528" spans="3:40"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</row>
    <row r="529" spans="3:40"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</row>
    <row r="530" spans="3:40"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</row>
    <row r="531" spans="3:40"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</row>
    <row r="532" spans="3:40"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</row>
    <row r="533" spans="3:40"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</row>
    <row r="534" spans="3:40"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</row>
    <row r="535" spans="3:40"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</row>
    <row r="536" spans="3:40"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</row>
    <row r="537" spans="3:40"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</row>
    <row r="538" spans="3:40"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</row>
    <row r="539" spans="3:40"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</row>
    <row r="540" spans="3:40"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</row>
    <row r="541" spans="3:40"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</row>
    <row r="542" spans="3:40"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</row>
    <row r="543" spans="3:40"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</row>
    <row r="544" spans="3:40"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</row>
    <row r="545" spans="3:40"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</row>
    <row r="546" spans="3:40"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</row>
    <row r="547" spans="3:40"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</row>
    <row r="548" spans="3:40"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</row>
    <row r="549" spans="3:40"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</row>
    <row r="550" spans="3:40"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</row>
    <row r="551" spans="3:40"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</row>
    <row r="552" spans="3:40"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</row>
    <row r="553" spans="3:40"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</row>
    <row r="554" spans="3:40"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</row>
    <row r="555" spans="3:40"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</row>
    <row r="556" spans="3:40"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</row>
    <row r="557" spans="3:40"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</row>
    <row r="558" spans="3:40"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</row>
    <row r="559" spans="3:40"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</row>
    <row r="560" spans="3:40"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</row>
    <row r="561" spans="3:40"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</row>
    <row r="562" spans="3:40"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</row>
    <row r="563" spans="3:40"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</row>
    <row r="564" spans="3:40"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</row>
    <row r="565" spans="3:40"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</row>
    <row r="566" spans="3:40"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</row>
    <row r="567" spans="3:40"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</row>
    <row r="568" spans="3:40"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</row>
    <row r="569" spans="3:40"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</row>
    <row r="570" spans="3:40"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</row>
    <row r="571" spans="3:40"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</row>
    <row r="572" spans="3:40"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</row>
    <row r="573" spans="3:40"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</row>
    <row r="574" spans="3:40"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</row>
    <row r="575" spans="3:40"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</row>
    <row r="576" spans="3:40"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</row>
    <row r="577" spans="3:40"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</row>
    <row r="578" spans="3:40"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</row>
    <row r="579" spans="3:40"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</row>
    <row r="580" spans="3:40"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</row>
    <row r="581" spans="3:40"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</row>
    <row r="582" spans="3:40"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</row>
    <row r="583" spans="3:40"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</row>
    <row r="584" spans="3:40"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</row>
    <row r="585" spans="3:40"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</row>
    <row r="586" spans="3:40"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</row>
    <row r="587" spans="3:40"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</row>
    <row r="588" spans="3:40"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</row>
    <row r="589" spans="3:40"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</row>
    <row r="590" spans="3:40"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</row>
    <row r="591" spans="3:40"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</row>
    <row r="592" spans="3:40"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</row>
    <row r="593" spans="3:40"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</row>
    <row r="594" spans="3:40"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</row>
    <row r="595" spans="3:40"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</row>
    <row r="596" spans="3:40"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</row>
    <row r="597" spans="3:40"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</row>
    <row r="598" spans="3:40"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</row>
    <row r="599" spans="3:40"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</row>
    <row r="600" spans="3:40"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</row>
    <row r="601" spans="3:40"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</row>
    <row r="602" spans="3:40"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</row>
    <row r="603" spans="3:40"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</row>
    <row r="604" spans="3:40"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</row>
    <row r="605" spans="3:40"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</row>
    <row r="606" spans="3:40"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</row>
    <row r="607" spans="3:40"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</row>
    <row r="608" spans="3:40"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</row>
    <row r="609" spans="3:40"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</row>
    <row r="610" spans="3:40"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</row>
    <row r="611" spans="3:40"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</row>
    <row r="612" spans="3:40"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</row>
    <row r="613" spans="3:40"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</row>
    <row r="614" spans="3:40"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</row>
    <row r="615" spans="3:40"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</row>
    <row r="616" spans="3:40"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</row>
    <row r="617" spans="3:40"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</row>
    <row r="618" spans="3:40"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</row>
    <row r="619" spans="3:40"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</row>
    <row r="620" spans="3:40"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</row>
    <row r="621" spans="3:40"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</row>
    <row r="622" spans="3:40"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</row>
    <row r="623" spans="3:40"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</row>
    <row r="624" spans="3:40"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</row>
    <row r="625" spans="3:40"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</row>
    <row r="626" spans="3:40"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</row>
    <row r="627" spans="3:40"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</row>
    <row r="628" spans="3:40"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</row>
    <row r="629" spans="3:40"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</row>
    <row r="630" spans="3:40"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</row>
    <row r="631" spans="3:40"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</row>
    <row r="632" spans="3:40"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</row>
    <row r="633" spans="3:40"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</row>
    <row r="634" spans="3:40"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</row>
    <row r="635" spans="3:40"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</row>
    <row r="636" spans="3:40"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</row>
    <row r="637" spans="3:40"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</row>
    <row r="638" spans="3:40"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</row>
    <row r="639" spans="3:40"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</row>
    <row r="640" spans="3:40"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</row>
    <row r="641" spans="3:40"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</row>
    <row r="642" spans="3:40"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</row>
    <row r="643" spans="3:40"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</row>
    <row r="644" spans="3:40"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</row>
    <row r="645" spans="3:40"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</row>
    <row r="646" spans="3:40"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</row>
    <row r="647" spans="3:40"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</row>
    <row r="648" spans="3:40"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</row>
    <row r="649" spans="3:40"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</row>
    <row r="650" spans="3:40"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</row>
    <row r="651" spans="3:40"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</row>
    <row r="652" spans="3:40"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</row>
    <row r="653" spans="3:40"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</row>
    <row r="654" spans="3:40"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</row>
    <row r="655" spans="3:40"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</row>
    <row r="656" spans="3:40"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</row>
    <row r="657" spans="3:40"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</row>
    <row r="658" spans="3:40"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</row>
    <row r="659" spans="3:40"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</row>
    <row r="660" spans="3:40"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</row>
    <row r="661" spans="3:40"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</row>
    <row r="662" spans="3:40"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</row>
    <row r="663" spans="3:40"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</row>
    <row r="664" spans="3:40"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</row>
    <row r="665" spans="3:40"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</row>
    <row r="666" spans="3:40"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</row>
    <row r="667" spans="3:40"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</row>
    <row r="668" spans="3:40"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</row>
    <row r="669" spans="3:40"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</row>
    <row r="670" spans="3:40"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</row>
    <row r="671" spans="3:40"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</row>
    <row r="672" spans="3:40"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</row>
    <row r="673" spans="3:40"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</row>
    <row r="674" spans="3:40"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</row>
    <row r="675" spans="3:40"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</row>
    <row r="676" spans="3:40"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</row>
    <row r="677" spans="3:40"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</row>
    <row r="678" spans="3:40"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</row>
    <row r="679" spans="3:40"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</row>
    <row r="680" spans="3:40"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</row>
    <row r="681" spans="3:40"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</row>
    <row r="682" spans="3:40"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</row>
    <row r="683" spans="3:40"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</row>
    <row r="684" spans="3:40"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</row>
    <row r="685" spans="3:40"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</row>
    <row r="686" spans="3:40"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</row>
    <row r="687" spans="3:40"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</row>
    <row r="688" spans="3:40"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</row>
    <row r="689" spans="3:40"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</row>
    <row r="690" spans="3:40"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</row>
    <row r="691" spans="3:40"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</row>
    <row r="692" spans="3:40"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</row>
    <row r="693" spans="3:40"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</row>
    <row r="694" spans="3:40"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</row>
    <row r="695" spans="3:40"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</row>
    <row r="696" spans="3:40"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</row>
    <row r="697" spans="3:40"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</row>
    <row r="698" spans="3:40"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</row>
    <row r="699" spans="3:40"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</row>
    <row r="700" spans="3:40"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</row>
    <row r="701" spans="3:40"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</row>
    <row r="702" spans="3:40"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</row>
    <row r="703" spans="3:40"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</row>
    <row r="704" spans="3:40"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</row>
    <row r="705" spans="3:40"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</row>
    <row r="706" spans="3:40"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</row>
    <row r="707" spans="3:40"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</row>
    <row r="708" spans="3:40"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</row>
    <row r="709" spans="3:40"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</row>
    <row r="710" spans="3:40"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</row>
    <row r="711" spans="3:40"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</row>
    <row r="712" spans="3:40"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</row>
    <row r="713" spans="3:40"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</row>
    <row r="714" spans="3:40"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</row>
    <row r="715" spans="3:40"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</row>
    <row r="716" spans="3:40"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</row>
    <row r="717" spans="3:40"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</row>
    <row r="718" spans="3:40"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</row>
    <row r="719" spans="3:40"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</row>
    <row r="720" spans="3:40"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</row>
    <row r="721" spans="3:40"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</row>
    <row r="722" spans="3:40"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</row>
    <row r="723" spans="3:40"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</row>
    <row r="724" spans="3:40"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</row>
    <row r="725" spans="3:40"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</row>
    <row r="726" spans="3:40"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</row>
    <row r="727" spans="3:40"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</row>
    <row r="728" spans="3:40"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</row>
    <row r="729" spans="3:40"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</row>
    <row r="730" spans="3:40"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</row>
    <row r="731" spans="3:40"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</row>
    <row r="732" spans="3:40"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</row>
    <row r="733" spans="3:40"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</row>
    <row r="734" spans="3:40"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</row>
    <row r="735" spans="3:40"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</row>
    <row r="736" spans="3:40"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</row>
    <row r="737" spans="3:40"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</row>
    <row r="738" spans="3:40"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</row>
    <row r="739" spans="3:40"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</row>
    <row r="740" spans="3:40"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</row>
    <row r="741" spans="3:40"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</row>
    <row r="742" spans="3:40"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</row>
    <row r="743" spans="3:40"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</row>
    <row r="744" spans="3:40"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</row>
    <row r="745" spans="3:40"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</row>
    <row r="746" spans="3:40"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</row>
    <row r="747" spans="3:40"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</row>
    <row r="748" spans="3:40"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</row>
    <row r="749" spans="3:40"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</row>
    <row r="750" spans="3:40"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</row>
    <row r="751" spans="3:40"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</row>
    <row r="752" spans="3:40"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</row>
    <row r="753" spans="3:40"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</row>
    <row r="754" spans="3:40"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</row>
    <row r="755" spans="3:40"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</row>
    <row r="756" spans="3:40"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</row>
    <row r="757" spans="3:40"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</row>
    <row r="758" spans="3:40"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</row>
    <row r="759" spans="3:40"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</row>
    <row r="760" spans="3:40"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</row>
    <row r="761" spans="3:40"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</row>
    <row r="762" spans="3:40"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</row>
    <row r="763" spans="3:40"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</row>
    <row r="764" spans="3:40"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</row>
    <row r="765" spans="3:40"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</row>
    <row r="766" spans="3:40"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</row>
    <row r="767" spans="3:40"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</row>
    <row r="768" spans="3:40"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</row>
    <row r="769" spans="3:40"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</row>
    <row r="770" spans="3:40"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</row>
    <row r="771" spans="3:40"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</row>
    <row r="772" spans="3:40"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</row>
    <row r="773" spans="3:40"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</row>
    <row r="774" spans="3:40"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</row>
    <row r="775" spans="3:40"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</row>
    <row r="776" spans="3:40"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</row>
    <row r="777" spans="3:40"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</row>
    <row r="778" spans="3:40"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</row>
    <row r="779" spans="3:40"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</row>
    <row r="780" spans="3:40"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</row>
    <row r="781" spans="3:40"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</row>
    <row r="782" spans="3:40"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</row>
    <row r="783" spans="3:40"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</row>
    <row r="784" spans="3:40"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</row>
    <row r="785" spans="3:40"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</row>
    <row r="786" spans="3:40"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</row>
    <row r="787" spans="3:40"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</row>
    <row r="788" spans="3:40"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</row>
    <row r="789" spans="3:40"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</row>
    <row r="790" spans="3:40"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</row>
    <row r="791" spans="3:40"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</row>
    <row r="792" spans="3:40"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</row>
    <row r="793" spans="3:40"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</row>
    <row r="794" spans="3:40"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</row>
    <row r="795" spans="3:40"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</row>
    <row r="796" spans="3:40"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</row>
    <row r="797" spans="3:40"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</row>
    <row r="798" spans="3:40"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</row>
    <row r="799" spans="3:40"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</row>
    <row r="800" spans="3:40"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</row>
    <row r="801" spans="3:40"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</row>
    <row r="802" spans="3:40"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</row>
    <row r="803" spans="3:40"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</row>
    <row r="804" spans="3:40"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</row>
    <row r="805" spans="3:40"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</row>
    <row r="806" spans="3:40"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</row>
    <row r="807" spans="3:40"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</row>
    <row r="808" spans="3:40"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</row>
    <row r="809" spans="3:40"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</row>
    <row r="810" spans="3:40"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</row>
    <row r="811" spans="3:40"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</row>
    <row r="812" spans="3:40"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</row>
    <row r="813" spans="3:40"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</row>
    <row r="814" spans="3:40"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</row>
    <row r="815" spans="3:40"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</row>
    <row r="816" spans="3:40"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</row>
    <row r="817" spans="3:40"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</row>
    <row r="818" spans="3:40"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</row>
    <row r="819" spans="3:40"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</row>
    <row r="820" spans="3:40"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</row>
    <row r="821" spans="3:40"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</row>
    <row r="822" spans="3:40"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</row>
    <row r="823" spans="3:40"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</row>
    <row r="824" spans="3:40"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</row>
    <row r="825" spans="3:40"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</row>
    <row r="826" spans="3:40"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</row>
    <row r="827" spans="3:40"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</row>
    <row r="828" spans="3:40"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</row>
    <row r="829" spans="3:40"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</row>
    <row r="830" spans="3:40"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</row>
    <row r="831" spans="3:40"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</row>
    <row r="832" spans="3:40"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</row>
    <row r="833" spans="3:40"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</row>
    <row r="834" spans="3:40"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</row>
    <row r="835" spans="3:40"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</row>
    <row r="836" spans="3:40"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</row>
    <row r="837" spans="3:40"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</row>
    <row r="838" spans="3:40"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</row>
    <row r="839" spans="3:40"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</row>
    <row r="840" spans="3:40"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</row>
    <row r="841" spans="3:40"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</row>
    <row r="842" spans="3:40"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</row>
    <row r="843" spans="3:40"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</row>
    <row r="844" spans="3:40"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</row>
    <row r="845" spans="3:40"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</row>
    <row r="846" spans="3:40"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</row>
    <row r="847" spans="3:40"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</row>
    <row r="848" spans="3:40"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</row>
    <row r="849" spans="3:40"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</row>
    <row r="850" spans="3:40"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</row>
    <row r="851" spans="3:40"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</row>
    <row r="852" spans="3:40"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</row>
    <row r="853" spans="3:40"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</row>
    <row r="854" spans="3:40"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</row>
    <row r="855" spans="3:40"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</row>
    <row r="856" spans="3:40"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</row>
    <row r="857" spans="3:40"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</row>
    <row r="858" spans="3:40"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</row>
    <row r="859" spans="3:40"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</row>
    <row r="860" spans="3:40"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</row>
    <row r="861" spans="3:40"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</row>
    <row r="862" spans="3:40"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</row>
    <row r="863" spans="3:40"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</row>
    <row r="864" spans="3:40"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</row>
    <row r="865" spans="3:40"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</row>
    <row r="866" spans="3:40"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</row>
    <row r="867" spans="3:40"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</row>
    <row r="868" spans="3:40"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</row>
    <row r="869" spans="3:40"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</row>
    <row r="870" spans="3:40"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</row>
    <row r="871" spans="3:40"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</row>
    <row r="872" spans="3:40"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</row>
    <row r="873" spans="3:40"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PETERSON MENDES</cp:lastModifiedBy>
  <dcterms:created xsi:type="dcterms:W3CDTF">2024-12-19T13:13:10Z</dcterms:created>
  <dcterms:modified xsi:type="dcterms:W3CDTF">2026-03-20T00:14:33Z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